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 Detail" sheetId="1" r:id="rId1"/>
    <sheet name="Monthly Summary" sheetId="2" r:id="rId2"/>
  </sheets>
  <definedNames>
    <definedName name="_xlnm._FilterDatabase" localSheetId="0">'Employee Detail'!A4:BK6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5">
    <numFmt numFmtId="165" formatCode="&quot;₹&quot;#,##0.00"/>
    <numFmt numFmtId="166" formatCode="&quot;₹&quot;#,##0.00"/>
    <numFmt numFmtId="167" formatCode="&quot;₹&quot;#,##0.00"/>
    <numFmt numFmtId="168" formatCode="&quot;₹&quot;#,##0.00"/>
    <numFmt numFmtId="169" formatCode="&quot;₹&quot;#,##0.00"/>
  </numFmts>
  <fonts count="24" x14ac:knownFonts="1">
    <font>
      <sz val="11"/>
      <name val="Calibri"/>
    </font>
    <font>
      <sz val="11"/>
      <name val="Calibri"/>
    </font>
    <font>
      <sz val="15"/>
      <name val="Calibri"/>
      <b/>
      <color rgb="FFFFFF"/>
    </font>
    <font>
      <sz val="15"/>
      <name val="Calibri"/>
      <b/>
      <color rgb="FFFFFF"/>
    </font>
    <font>
      <sz val="11"/>
      <name val="Calibri"/>
      <b/>
    </font>
    <font>
      <sz val="11"/>
      <name val="Calibri"/>
      <b/>
    </font>
    <font>
      <sz val="10"/>
      <name val="Calibri"/>
      <b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  <b/>
    </font>
    <font>
      <sz val="10"/>
      <name val="Calibri"/>
      <b/>
    </font>
    <font>
      <sz val="10"/>
      <name val="Calibri"/>
      <i/>
    </font>
    <font>
      <sz val="11"/>
      <name val="Calibri"/>
      <b/>
    </font>
    <font>
      <sz val="11"/>
      <name val="Calibri"/>
      <b/>
    </font>
    <font>
      <sz val="10"/>
      <name val="Calibri"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2"/>
      <name val="Calibri"/>
      <b/>
    </font>
    <font>
      <sz val="12"/>
      <name val="Calibri"/>
      <b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4E79"/>
        <bgColor/>
      </patternFill>
    </fill>
    <fill>
      <patternFill patternType="solid">
        <fgColor rgb="FF1F4E79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E7E6E6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  <fill>
      <patternFill patternType="solid">
        <fgColor rgb="FFDDEBF7"/>
        <bgColor/>
      </patternFill>
    </fill>
    <fill>
      <patternFill patternType="solid">
        <fgColor rgb="FFDDEBF7"/>
        <bgColor/>
      </patternFill>
    </fill>
    <fill>
      <patternFill patternType="solid">
        <fgColor rgb="FFD6DCE4"/>
        <bgColor/>
      </patternFill>
    </fill>
    <fill>
      <patternFill patternType="solid">
        <fgColor rgb="FFD6DCE4"/>
        <bgColor/>
      </patternFill>
    </fill>
    <fill>
      <patternFill patternType="solid">
        <fgColor rgb="FFFFF2CC"/>
        <bgColor/>
      </patternFill>
    </fill>
    <fill>
      <patternFill patternType="solid">
        <fgColor rgb="FFFFF2CC"/>
        <bgColor/>
      </patternFill>
    </fill>
    <fill>
      <patternFill patternType="solid">
        <fgColor rgb="FFC6EFCE"/>
        <bgColor/>
      </patternFill>
    </fill>
    <fill>
      <patternFill patternType="solid">
        <fgColor rgb="FFC6EFCE"/>
        <bgColor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double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double">
        <color rgb="000000"/>
      </top>
      <bottom style="medium">
        <color rgb="000000"/>
      </bottom>
      <diagonal/>
    </border>
  </borders>
  <cellStyleXfs>
    <xf numFmtId="0" fontId="0" fillId="0" borderId="0"/>
  </cellStyleXfs>
  <cellXfs count="2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horizontal="center" vertical="center" wrapText="true"/>
    </xf>
    <xf numFmtId="0" fontId="5" fillId="5" borderId="5" xfId="0" applyFont="1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49" fontId="7" fillId="0" borderId="7" xfId="0" applyFont="1" applyBorder="1" applyNumberFormat="1" applyAlignment="1">
      <alignment horizontal="left" vertical="center" wrapText="true"/>
    </xf>
    <xf numFmtId="0" fontId="8" fillId="0" borderId="8" xfId="0" applyFont="1" applyBorder="1" applyAlignment="1">
      <alignment horizontal="left" vertical="center" wrapText="true"/>
    </xf>
    <xf numFmtId="165" fontId="9" fillId="0" borderId="9" xfId="0" applyFont="1" applyBorder="1" applyNumberFormat="1" applyAlignment="1">
      <alignment horizontal="right" vertical="center"/>
    </xf>
    <xf numFmtId="49" fontId="10" fillId="7" borderId="10" xfId="0" applyFont="1" applyFill="1" applyBorder="1" applyNumberFormat="1" applyAlignment="1">
      <alignment horizontal="left" vertical="center" wrapText="true"/>
    </xf>
    <xf numFmtId="0" fontId="11" fillId="8" borderId="11" xfId="0" applyFont="1" applyFill="1" applyBorder="1" applyAlignment="1">
      <alignment horizontal="left" vertical="center" wrapText="true"/>
    </xf>
    <xf numFmtId="166" fontId="12" fillId="9" borderId="12" xfId="0" applyFont="1" applyFill="1" applyBorder="1" applyNumberFormat="1" applyAlignment="1">
      <alignment horizontal="right" vertical="center"/>
    </xf>
    <xf numFmtId="0" fontId="13" fillId="10" borderId="13" xfId="0" applyFont="1" applyFill="1" applyBorder="1" applyAlignment="1">
      <alignment horizontal="left" vertical="center" wrapText="true"/>
    </xf>
    <xf numFmtId="167" fontId="14" fillId="11" borderId="14" xfId="0" applyFont="1" applyFill="1" applyBorder="1" applyNumberFormat="1" applyAlignment="1">
      <alignment horizontal="right" vertical="center"/>
    </xf>
    <xf numFmtId="0" fontId="15" fillId="0" borderId="0" xfId="0" applyFont="1" applyAlignment="1">
      <alignment horizontal="left" vertical="center" wrapText="true"/>
    </xf>
    <xf numFmtId="0" fontId="16" fillId="12" borderId="15" xfId="0" applyFont="1" applyFill="1" applyBorder="1" applyAlignment="1">
      <alignment horizontal="left" vertical="center" wrapText="true"/>
    </xf>
    <xf numFmtId="0" fontId="17" fillId="13" borderId="16" xfId="0" applyFont="1" applyFill="1" applyBorder="1" applyAlignment="1">
      <alignment horizontal="left" vertical="center" wrapText="true"/>
    </xf>
    <xf numFmtId="0" fontId="18" fillId="0" borderId="17" xfId="0" applyFont="1" applyBorder="1" applyAlignment="1">
      <alignment horizontal="right" vertical="center" wrapText="true"/>
    </xf>
    <xf numFmtId="0" fontId="19" fillId="14" borderId="18" xfId="0" applyFont="1" applyFill="1" applyBorder="1" applyAlignment="1">
      <alignment horizontal="left" vertical="center" wrapText="true"/>
    </xf>
    <xf numFmtId="168" fontId="20" fillId="15" borderId="19" xfId="0" applyFont="1" applyFill="1" applyBorder="1" applyNumberFormat="1" applyAlignment="1">
      <alignment horizontal="right" vertical="center"/>
    </xf>
    <xf numFmtId="3" fontId="21" fillId="0" borderId="20" xfId="0" applyFont="1" applyBorder="1" applyNumberFormat="1" applyAlignment="1">
      <alignment horizontal="right" vertical="center"/>
    </xf>
    <xf numFmtId="0" fontId="22" fillId="16" borderId="21" xfId="0" applyFont="1" applyFill="1" applyBorder="1" applyAlignment="1">
      <alignment horizontal="left" vertical="center" wrapText="true"/>
    </xf>
    <xf numFmtId="169" fontId="23" fillId="17" borderId="22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7"/>
  <sheetViews>
    <sheetView workbookViewId="0"/>
  </sheetViews>
  <cols>
    <col min="1" max="1" width="22.83203125" customWidth="1"/>
    <col min="2" max="2" width="2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6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12.83203125" customWidth="1"/>
    <col min="41" max="41" width="12.83203125" customWidth="1"/>
    <col min="42" max="42" width="28.83203125" customWidth="1"/>
    <col min="43" max="43" width="12.83203125" customWidth="1"/>
    <col min="44" max="44" width="12.83203125" customWidth="1"/>
    <col min="45" max="45" width="12.83203125" customWidth="1"/>
    <col min="46" max="46" width="12.83203125" customWidth="1"/>
    <col min="47" max="47" width="12.83203125" customWidth="1"/>
    <col min="48" max="48" width="12.83203125" customWidth="1"/>
    <col min="49" max="49" width="12.83203125" customWidth="1"/>
    <col min="50" max="50" width="12.83203125" customWidth="1"/>
    <col min="51" max="51" width="12.83203125" customWidth="1"/>
    <col min="52" max="52" width="12.83203125" customWidth="1"/>
    <col min="53" max="53" width="12.83203125" customWidth="1"/>
    <col min="54" max="54" width="12.83203125" customWidth="1"/>
    <col min="55" max="55" width="12.83203125" customWidth="1"/>
    <col min="56" max="56" width="12.83203125" customWidth="1"/>
    <col min="57" max="57" width="12.83203125" customWidth="1"/>
    <col min="58" max="58" width="16.83203125" customWidth="1"/>
    <col min="59" max="59" width="16.83203125" customWidth="1"/>
    <col min="60" max="60" width="12.83203125" customWidth="1"/>
    <col min="61" max="61" width="12.83203125" customWidth="1"/>
    <col min="62" max="62" width="12.83203125" customWidth="1"/>
    <col min="63" max="63" width="12.83203125" customWidth="1"/>
  </cols>
  <sheetData>
    <row r="1" ht="28" customHeight="1">
      <c r="A1" s="3" t="str">
        <v>CIRT PAYROLL – SEPTEMBER 2026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  <c r="AT1" s="4" t="str">
        <v/>
      </c>
      <c r="AU1" s="4" t="str">
        <v/>
      </c>
      <c r="AV1" s="4" t="str">
        <v/>
      </c>
      <c r="AW1" s="4" t="str">
        <v/>
      </c>
      <c r="AX1" s="4" t="str">
        <v/>
      </c>
      <c r="AY1" s="4" t="str">
        <v/>
      </c>
      <c r="AZ1" s="4" t="str">
        <v/>
      </c>
      <c r="BA1" s="4" t="str">
        <v/>
      </c>
      <c r="BB1" s="4" t="str">
        <v/>
      </c>
      <c r="BC1" s="4" t="str">
        <v/>
      </c>
      <c r="BD1" s="4" t="str">
        <v/>
      </c>
      <c r="BE1" s="4" t="str">
        <v/>
      </c>
      <c r="BF1" s="4" t="str">
        <v/>
      </c>
      <c r="BG1" s="4" t="str">
        <v/>
      </c>
      <c r="BH1" s="4" t="str">
        <v/>
      </c>
      <c r="BI1" s="4" t="str">
        <v/>
      </c>
      <c r="BJ1" s="4" t="str">
        <v/>
      </c>
      <c r="BK1" s="4" t="str">
        <v/>
      </c>
    </row>
    <row r="2" ht="20" customHeight="1">
      <c r="A2" s="5" t="str">
        <v>DRAFT — NOT FINALIZED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  <c r="J2" s="6" t="str">
        <v/>
      </c>
      <c r="K2" s="6" t="str">
        <v/>
      </c>
      <c r="L2" s="6" t="str">
        <v/>
      </c>
      <c r="M2" s="6" t="str">
        <v/>
      </c>
      <c r="N2" s="6" t="str">
        <v/>
      </c>
      <c r="O2" s="6" t="str">
        <v/>
      </c>
      <c r="P2" s="6" t="str">
        <v/>
      </c>
      <c r="Q2" s="6" t="str">
        <v/>
      </c>
      <c r="R2" s="6" t="str">
        <v/>
      </c>
      <c r="S2" s="6" t="str">
        <v/>
      </c>
      <c r="T2" s="6" t="str">
        <v/>
      </c>
      <c r="U2" s="6" t="str">
        <v/>
      </c>
      <c r="V2" s="6" t="str">
        <v/>
      </c>
      <c r="W2" s="6" t="str">
        <v/>
      </c>
      <c r="X2" s="6" t="str">
        <v/>
      </c>
      <c r="Y2" s="6" t="str">
        <v/>
      </c>
      <c r="Z2" s="6" t="str">
        <v/>
      </c>
      <c r="AA2" s="6" t="str">
        <v/>
      </c>
      <c r="AB2" s="6" t="str">
        <v/>
      </c>
      <c r="AC2" s="6" t="str">
        <v/>
      </c>
      <c r="AD2" s="6" t="str">
        <v/>
      </c>
      <c r="AE2" s="6" t="str">
        <v/>
      </c>
      <c r="AF2" s="6" t="str">
        <v/>
      </c>
      <c r="AG2" s="6" t="str">
        <v/>
      </c>
      <c r="AH2" s="6" t="str">
        <v/>
      </c>
      <c r="AI2" s="6" t="str">
        <v/>
      </c>
      <c r="AJ2" s="6" t="str">
        <v/>
      </c>
      <c r="AK2" s="6" t="str">
        <v/>
      </c>
      <c r="AL2" s="6" t="str">
        <v/>
      </c>
      <c r="AM2" s="6" t="str">
        <v/>
      </c>
      <c r="AN2" s="6" t="str">
        <v/>
      </c>
      <c r="AO2" s="6" t="str">
        <v/>
      </c>
      <c r="AP2" s="6" t="str">
        <v/>
      </c>
      <c r="AQ2" s="6" t="str">
        <v/>
      </c>
      <c r="AR2" s="6" t="str">
        <v/>
      </c>
      <c r="AS2" s="6" t="str">
        <v/>
      </c>
      <c r="AT2" s="6" t="str">
        <v/>
      </c>
      <c r="AU2" s="6" t="str">
        <v/>
      </c>
      <c r="AV2" s="6" t="str">
        <v/>
      </c>
      <c r="AW2" s="6" t="str">
        <v/>
      </c>
      <c r="AX2" s="6" t="str">
        <v/>
      </c>
      <c r="AY2" s="6" t="str">
        <v/>
      </c>
      <c r="AZ2" s="6" t="str">
        <v/>
      </c>
      <c r="BA2" s="6" t="str">
        <v/>
      </c>
      <c r="BB2" s="6" t="str">
        <v/>
      </c>
      <c r="BC2" s="6" t="str">
        <v/>
      </c>
      <c r="BD2" s="6" t="str">
        <v/>
      </c>
      <c r="BE2" s="6" t="str">
        <v/>
      </c>
      <c r="BF2" s="6" t="str">
        <v/>
      </c>
      <c r="BG2" s="6" t="str">
        <v/>
      </c>
      <c r="BH2" s="6" t="str">
        <v/>
      </c>
      <c r="BI2" s="6" t="str">
        <v/>
      </c>
      <c r="BJ2" s="6" t="str">
        <v/>
      </c>
      <c r="BK2" s="6" t="str">
        <v/>
      </c>
    </row>
    <row r="4" ht="30" customHeight="1">
      <c r="A4" s="7" t="str">
        <v>AccountNumber</v>
      </c>
      <c r="B4" s="7" t="str">
        <v>EmployeeName</v>
      </c>
      <c r="C4" s="7" t="str">
        <v>PayLevel</v>
      </c>
      <c r="D4" s="7" t="str">
        <v>PayDays</v>
      </c>
      <c r="E4" s="7" t="str">
        <v>Basic</v>
      </c>
      <c r="F4" s="7" t="str">
        <v>DA</v>
      </c>
      <c r="G4" s="7" t="str">
        <v>HRA</v>
      </c>
      <c r="H4" s="7" t="str">
        <v>Medical</v>
      </c>
      <c r="I4" s="7" t="str">
        <v>TransportTA</v>
      </c>
      <c r="J4" s="7" t="str">
        <v>SPPay</v>
      </c>
      <c r="K4" s="7" t="str">
        <v>ExtraWorkAllowance</v>
      </c>
      <c r="L4" s="7" t="str">
        <v>NightAllowance</v>
      </c>
      <c r="M4" s="7" t="str">
        <v>NightHours</v>
      </c>
      <c r="N4" s="7" t="str">
        <v>NightAllowanceRate</v>
      </c>
      <c r="O4" s="7" t="str">
        <v>NightAllowanceCeiling</v>
      </c>
      <c r="P4" s="7" t="str">
        <v>NightAllowanceEligible</v>
      </c>
      <c r="Q4" s="7" t="str">
        <v>UniformAllowance</v>
      </c>
      <c r="R4" s="7" t="str">
        <v>EducationAllowance</v>
      </c>
      <c r="S4" s="7" t="str">
        <v>DAArrears</v>
      </c>
      <c r="T4" s="7" t="str">
        <v>TransportArrears</v>
      </c>
      <c r="U4" s="7" t="str">
        <v>Encashment</v>
      </c>
      <c r="V4" s="7" t="str">
        <v>EncashmentDA</v>
      </c>
      <c r="W4" s="7" t="str">
        <v>GrossTotal</v>
      </c>
      <c r="X4" s="7" t="str">
        <v>IncomeTax</v>
      </c>
      <c r="Y4" s="7" t="str">
        <v>LIC</v>
      </c>
      <c r="Z4" s="7" t="str">
        <v>CPF</v>
      </c>
      <c r="AA4" s="7" t="str">
        <v>DACPF</v>
      </c>
      <c r="AB4" s="7" t="str">
        <v>VPF</v>
      </c>
      <c r="AC4" s="7" t="str">
        <v>PFLoan</v>
      </c>
      <c r="AD4" s="7" t="str">
        <v>PostOffice</v>
      </c>
      <c r="AE4" s="7" t="str">
        <v>CreditSociety</v>
      </c>
      <c r="AF4" s="7" t="str">
        <v>StdLicenceFee</v>
      </c>
      <c r="AG4" s="7" t="str">
        <v>Electricity</v>
      </c>
      <c r="AH4" s="7" t="str">
        <v>ElectricityUnits</v>
      </c>
      <c r="AI4" s="7" t="str">
        <v>ElectricityUnitRate</v>
      </c>
      <c r="AJ4" s="7" t="str">
        <v>Water</v>
      </c>
      <c r="AK4" s="7" t="str">
        <v>Mess</v>
      </c>
      <c r="AL4" s="7" t="str">
        <v>BankRecovery</v>
      </c>
      <c r="AM4" s="7" t="str">
        <v>Welfare</v>
      </c>
      <c r="AN4" s="7" t="str">
        <v>HPL</v>
      </c>
      <c r="AO4" s="7" t="str">
        <v>EOL</v>
      </c>
      <c r="AP4" s="7" t="str">
        <v>Remarks</v>
      </c>
      <c r="AQ4" s="7" t="str">
        <v>VehCharge</v>
      </c>
      <c r="AR4" s="7" t="str">
        <v>OtherDeduction</v>
      </c>
      <c r="AS4" s="7" t="str">
        <v>TotalDeductions</v>
      </c>
      <c r="AT4" s="7" t="str">
        <v>NetSalary</v>
      </c>
      <c r="AU4" s="7" t="str">
        <v>CTC</v>
      </c>
      <c r="AV4" s="7" t="str">
        <v>Incentive</v>
      </c>
      <c r="AW4" s="7" t="str">
        <v>PRBonus</v>
      </c>
      <c r="AX4" s="7" t="str">
        <v>Reimbursement</v>
      </c>
      <c r="AY4" s="7" t="str">
        <v>TDS</v>
      </c>
      <c r="AZ4" s="7" t="str">
        <v>EmployeePF</v>
      </c>
      <c r="BA4" s="7" t="str">
        <v>EmployerPF</v>
      </c>
      <c r="BB4" s="7" t="str">
        <v>EmployeeESIC</v>
      </c>
      <c r="BC4" s="7" t="str">
        <v>EmployerESIC</v>
      </c>
      <c r="BD4" s="7" t="str">
        <v>ProfessionalTax</v>
      </c>
      <c r="BE4" s="7" t="str">
        <v>QuarterAssigned</v>
      </c>
      <c r="BF4" s="7" t="str">
        <v>QuarterName</v>
      </c>
      <c r="BG4" s="7" t="str">
        <v>QuarterType</v>
      </c>
      <c r="BH4" s="7" t="str">
        <v>QuarterRent</v>
      </c>
      <c r="BI4" s="7" t="str">
        <v>QuarterRentDeduction</v>
      </c>
      <c r="BJ4" s="7" t="str">
        <v>NetPay</v>
      </c>
      <c r="BK4" s="7" t="str">
        <v>TelephoneAllowance</v>
      </c>
    </row>
    <row r="5" ht="42" customHeight="1">
      <c r="A5" s="8" t="str">
        <v>123456789012</v>
      </c>
      <c r="B5" s="9" t="str">
        <v>Sample Employee A</v>
      </c>
      <c r="C5" s="10">
        <v>0</v>
      </c>
      <c r="D5" s="10">
        <v>30</v>
      </c>
      <c r="E5" s="10">
        <v>45000</v>
      </c>
      <c r="F5" s="10">
        <v>23850</v>
      </c>
      <c r="G5" s="10">
        <v>0</v>
      </c>
      <c r="H5" s="10">
        <v>3000</v>
      </c>
      <c r="I5" s="10">
        <v>3600</v>
      </c>
      <c r="J5" s="10">
        <v>2000</v>
      </c>
      <c r="K5" s="10">
        <v>500</v>
      </c>
      <c r="L5" s="10">
        <v>800</v>
      </c>
      <c r="M5" s="10">
        <v>0</v>
      </c>
      <c r="N5" s="10">
        <v>0</v>
      </c>
      <c r="O5" s="10">
        <v>0</v>
      </c>
      <c r="P5" s="9" t="str">
        <v>Yes</v>
      </c>
      <c r="Q5" s="10">
        <v>0</v>
      </c>
      <c r="R5" s="10">
        <v>1500</v>
      </c>
      <c r="S5" s="10">
        <v>1200</v>
      </c>
      <c r="T5" s="10">
        <v>0</v>
      </c>
      <c r="U5" s="10">
        <v>0</v>
      </c>
      <c r="V5" s="10">
        <v>0</v>
      </c>
      <c r="W5" s="10">
        <v>81450</v>
      </c>
      <c r="X5" s="10">
        <v>2500</v>
      </c>
      <c r="Y5" s="10">
        <v>800</v>
      </c>
      <c r="Z5" s="10">
        <v>4500</v>
      </c>
      <c r="AA5" s="10">
        <v>500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450</v>
      </c>
      <c r="AH5" s="10">
        <v>0</v>
      </c>
      <c r="AI5" s="10">
        <v>0</v>
      </c>
      <c r="AJ5" s="10">
        <v>100</v>
      </c>
      <c r="AK5" s="10">
        <v>400</v>
      </c>
      <c r="AL5" s="10">
        <v>0</v>
      </c>
      <c r="AM5" s="10">
        <v>0</v>
      </c>
      <c r="AN5" s="10">
        <v>0</v>
      </c>
      <c r="AO5" s="10">
        <v>0</v>
      </c>
      <c r="AP5" s="9" t="str">
        <v>Sample remarks for formatting wrap test — longer text.</v>
      </c>
      <c r="AQ5" s="10">
        <v>0</v>
      </c>
      <c r="AR5" s="10">
        <v>0</v>
      </c>
      <c r="AS5" s="10">
        <v>9450</v>
      </c>
      <c r="AT5" s="10">
        <v>72000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200</v>
      </c>
      <c r="BE5" s="9" t="str">
        <v>No</v>
      </c>
      <c r="BF5" s="9" t="str">
        <v/>
      </c>
      <c r="BG5" s="9" t="str">
        <v/>
      </c>
      <c r="BH5" s="10">
        <v>1000</v>
      </c>
      <c r="BI5" s="10">
        <v>1000</v>
      </c>
      <c r="BJ5" s="10">
        <v>72000</v>
      </c>
      <c r="BK5" s="10">
        <v>500</v>
      </c>
    </row>
    <row r="6" ht="18" customHeight="1">
      <c r="A6" s="11" t="str">
        <v>987654321098</v>
      </c>
      <c r="B6" s="12" t="str">
        <v>Sample Employee B</v>
      </c>
      <c r="C6" s="13">
        <v>0</v>
      </c>
      <c r="D6" s="13">
        <v>30</v>
      </c>
      <c r="E6" s="13">
        <v>35000</v>
      </c>
      <c r="F6" s="13">
        <v>18550</v>
      </c>
      <c r="G6" s="13">
        <v>5000</v>
      </c>
      <c r="H6" s="13">
        <v>3000</v>
      </c>
      <c r="I6" s="13">
        <v>3600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2" t="str">
        <v>Yes</v>
      </c>
      <c r="Q6" s="13">
        <v>1200</v>
      </c>
      <c r="R6" s="13">
        <v>0</v>
      </c>
      <c r="S6" s="13">
        <v>0</v>
      </c>
      <c r="T6" s="13">
        <v>300</v>
      </c>
      <c r="U6" s="13">
        <v>0</v>
      </c>
      <c r="V6" s="13">
        <v>0</v>
      </c>
      <c r="W6" s="13">
        <v>66650</v>
      </c>
      <c r="X6" s="13">
        <v>1500</v>
      </c>
      <c r="Y6" s="13">
        <v>0</v>
      </c>
      <c r="Z6" s="13">
        <v>3500</v>
      </c>
      <c r="AA6" s="13">
        <v>400</v>
      </c>
      <c r="AB6" s="13">
        <v>500</v>
      </c>
      <c r="AC6" s="13">
        <v>0</v>
      </c>
      <c r="AD6" s="13">
        <v>0</v>
      </c>
      <c r="AE6" s="13">
        <v>0</v>
      </c>
      <c r="AF6" s="13">
        <v>0</v>
      </c>
      <c r="AG6" s="13">
        <v>200</v>
      </c>
      <c r="AH6" s="13">
        <v>0</v>
      </c>
      <c r="AI6" s="13">
        <v>0</v>
      </c>
      <c r="AJ6" s="13">
        <v>80</v>
      </c>
      <c r="AK6" s="13">
        <v>350</v>
      </c>
      <c r="AL6" s="13">
        <v>0</v>
      </c>
      <c r="AM6" s="13">
        <v>0</v>
      </c>
      <c r="AN6" s="13">
        <v>0</v>
      </c>
      <c r="AO6" s="13">
        <v>0</v>
      </c>
      <c r="AP6" s="12" t="str">
        <v/>
      </c>
      <c r="AQ6" s="13">
        <v>0</v>
      </c>
      <c r="AR6" s="13">
        <v>270</v>
      </c>
      <c r="AS6" s="13">
        <v>9000</v>
      </c>
      <c r="AT6" s="13">
        <v>57650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200</v>
      </c>
      <c r="BE6" s="12" t="str">
        <v>No</v>
      </c>
      <c r="BF6" s="12" t="str">
        <v/>
      </c>
      <c r="BG6" s="12" t="str">
        <v/>
      </c>
      <c r="BH6" s="13">
        <v>0</v>
      </c>
      <c r="BI6" s="13">
        <v>0</v>
      </c>
      <c r="BJ6" s="13">
        <v>51000</v>
      </c>
      <c r="BK6" s="13">
        <v>0</v>
      </c>
    </row>
    <row r="7" ht="22" customHeight="1">
      <c r="A7" s="14" t="str">
        <v>TOTALS</v>
      </c>
      <c r="B7" s="14" t="str">
        <v/>
      </c>
      <c r="C7" s="14" t="str">
        <v/>
      </c>
      <c r="D7" s="15">
        <v>60</v>
      </c>
      <c r="E7" s="15">
        <f>SUM(E5:E6)</f>
      </c>
      <c r="F7" s="15">
        <f>SUM(F5:F6)</f>
      </c>
      <c r="G7" s="15">
        <v>5000</v>
      </c>
      <c r="H7" s="15">
        <v>6000</v>
      </c>
      <c r="I7" s="15">
        <v>7200</v>
      </c>
      <c r="J7" s="15">
        <v>2000</v>
      </c>
      <c r="K7" s="15">
        <v>500</v>
      </c>
      <c r="L7" s="15">
        <v>800</v>
      </c>
      <c r="M7" s="15">
        <v>0</v>
      </c>
      <c r="N7" s="15">
        <v>0</v>
      </c>
      <c r="O7" s="15">
        <v>0</v>
      </c>
      <c r="P7" s="14" t="str">
        <v/>
      </c>
      <c r="Q7" s="15">
        <v>1200</v>
      </c>
      <c r="R7" s="15">
        <v>1500</v>
      </c>
      <c r="S7" s="15">
        <v>1200</v>
      </c>
      <c r="T7" s="15">
        <v>300</v>
      </c>
      <c r="U7" s="15">
        <v>0</v>
      </c>
      <c r="V7" s="15">
        <v>0</v>
      </c>
      <c r="W7" s="15">
        <f>SUM(W5:W6)</f>
      </c>
      <c r="X7" s="15">
        <v>4000</v>
      </c>
      <c r="Y7" s="15">
        <v>800</v>
      </c>
      <c r="Z7" s="15">
        <v>8000</v>
      </c>
      <c r="AA7" s="15">
        <v>900</v>
      </c>
      <c r="AB7" s="15">
        <v>500</v>
      </c>
      <c r="AC7" s="15">
        <v>0</v>
      </c>
      <c r="AD7" s="15">
        <v>0</v>
      </c>
      <c r="AE7" s="15">
        <v>0</v>
      </c>
      <c r="AF7" s="15">
        <v>0</v>
      </c>
      <c r="AG7" s="15">
        <v>650</v>
      </c>
      <c r="AH7" s="15">
        <v>0</v>
      </c>
      <c r="AI7" s="15">
        <v>0</v>
      </c>
      <c r="AJ7" s="15">
        <v>180</v>
      </c>
      <c r="AK7" s="15">
        <v>750</v>
      </c>
      <c r="AL7" s="15">
        <v>0</v>
      </c>
      <c r="AM7" s="15">
        <v>0</v>
      </c>
      <c r="AN7" s="15">
        <v>0</v>
      </c>
      <c r="AO7" s="15">
        <v>0</v>
      </c>
      <c r="AP7" s="14" t="str">
        <v/>
      </c>
      <c r="AQ7" s="15">
        <v>0</v>
      </c>
      <c r="AR7" s="15">
        <v>270</v>
      </c>
      <c r="AS7" s="15">
        <f>SUM(AS5:AS6)</f>
      </c>
      <c r="AT7" s="15">
        <v>129650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400</v>
      </c>
      <c r="BE7" s="15">
        <v>0</v>
      </c>
      <c r="BF7" s="14" t="str">
        <v/>
      </c>
      <c r="BG7" s="14" t="str">
        <v/>
      </c>
      <c r="BH7" s="15">
        <v>1000</v>
      </c>
      <c r="BI7" s="15">
        <v>1000</v>
      </c>
      <c r="BJ7" s="15">
        <f>SUM(BJ5:BJ6)</f>
      </c>
      <c r="BK7" s="15">
        <v>500</v>
      </c>
    </row>
  </sheetData>
  <autoFilter ref="A4:BK6"/>
  <mergeCells count="2">
    <mergeCell ref="A1:BK1"/>
    <mergeCell ref="A2:BK2"/>
  </mergeCells>
  <pageMargins left="0.4" right="0.4" top="0.5" bottom="0.5" header="0.25" footer="0.25"/>
  <ignoredErrors>
    <ignoredError numberStoredAsText="1" sqref="A1:BK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34.83203125" customWidth="1"/>
    <col min="2" max="2" width="18.83203125" customWidth="1"/>
    <col min="3" max="3" width="34.83203125" customWidth="1"/>
    <col min="4" max="4" width="18.83203125" customWidth="1"/>
  </cols>
  <sheetData>
    <row r="1" ht="26" customHeight="1">
      <c r="A1" s="3" t="str">
        <v>SUMMARY OF SALARY PAYABLE TO CIRT EMPLOYEES</v>
      </c>
      <c r="B1" s="3" t="str">
        <v/>
      </c>
      <c r="C1" s="3" t="str">
        <v/>
      </c>
      <c r="D1" s="3" t="str">
        <v/>
      </c>
    </row>
    <row r="2" ht="24" customHeight="1">
      <c r="A2" s="3" t="str">
        <v>FOR SEPTEMBER 2026</v>
      </c>
      <c r="B2" s="3" t="str">
        <v/>
      </c>
      <c r="C2" s="3" t="str">
        <v/>
      </c>
      <c r="D2" s="3" t="str">
        <v/>
      </c>
    </row>
    <row r="3" ht="18" customHeight="1">
      <c r="A3" s="16" t="str">
        <v>Status: Draft  |  Employees: 2  |  Exported: 06 Aug 2026, 05:37 pm  |  Exported by: Local Dev</v>
      </c>
      <c r="B3" s="16" t="str">
        <v/>
      </c>
      <c r="C3" s="16" t="str">
        <v/>
      </c>
      <c r="D3" s="16" t="str">
        <v/>
      </c>
    </row>
    <row r="5" ht="22" customHeight="1">
      <c r="A5" s="17" t="str">
        <v>A. GROSS SALARY / EARNINGS</v>
      </c>
      <c r="B5" s="18" t="str">
        <v/>
      </c>
      <c r="C5" s="18" t="str">
        <v/>
      </c>
      <c r="D5" s="18" t="str">
        <v/>
      </c>
    </row>
    <row r="6" ht="18" customHeight="1">
      <c r="A6" s="7" t="str">
        <v>Particulars</v>
      </c>
      <c r="B6" s="7" t="str">
        <v>Amount (₹)</v>
      </c>
      <c r="C6" s="7" t="str">
        <v>Particulars</v>
      </c>
      <c r="D6" s="7" t="str">
        <v>Amount (₹)</v>
      </c>
    </row>
    <row r="7" ht="18" customHeight="1">
      <c r="A7" s="9" t="str">
        <v>Basic Pay</v>
      </c>
      <c r="B7" s="10">
        <v>80000</v>
      </c>
      <c r="C7" s="9" t="str">
        <v>Dearness Allowance</v>
      </c>
      <c r="D7" s="10">
        <v>42400</v>
      </c>
    </row>
    <row r="8" ht="18" customHeight="1">
      <c r="A8" s="9" t="str">
        <v>House Rent Allowance</v>
      </c>
      <c r="B8" s="10">
        <v>5000</v>
      </c>
      <c r="C8" s="9" t="str">
        <v>Transport Allowance</v>
      </c>
      <c r="D8" s="10">
        <v>7200</v>
      </c>
    </row>
    <row r="9" ht="18" customHeight="1">
      <c r="A9" s="9" t="str">
        <v>Medical Allowance</v>
      </c>
      <c r="B9" s="10">
        <v>6000</v>
      </c>
      <c r="C9" s="9" t="str">
        <v>Special Pay</v>
      </c>
      <c r="D9" s="10">
        <v>2000</v>
      </c>
    </row>
    <row r="10" ht="18" customHeight="1">
      <c r="A10" s="9" t="str">
        <v>EWA</v>
      </c>
      <c r="B10" s="10">
        <v>500</v>
      </c>
      <c r="C10" s="9" t="str">
        <v>Night Allowance</v>
      </c>
      <c r="D10" s="10">
        <v>800</v>
      </c>
    </row>
    <row r="11" ht="18" customHeight="1">
      <c r="A11" s="9" t="str">
        <v>Uniform Allowance</v>
      </c>
      <c r="B11" s="10">
        <v>1200</v>
      </c>
      <c r="C11" s="9" t="str">
        <v>Education Allowance</v>
      </c>
      <c r="D11" s="10">
        <v>1500</v>
      </c>
    </row>
    <row r="12" ht="18" customHeight="1">
      <c r="A12" s="9" t="str">
        <v>Telephone Allowance</v>
      </c>
      <c r="B12" s="10">
        <v>500</v>
      </c>
      <c r="C12" s="9" t="str">
        <v>DA Arrears</v>
      </c>
      <c r="D12" s="10">
        <v>1200</v>
      </c>
    </row>
    <row r="13" ht="18" customHeight="1">
      <c r="A13" s="9" t="str">
        <v>Transport Arrears</v>
      </c>
      <c r="B13" s="10">
        <v>300</v>
      </c>
      <c r="C13" s="9" t="str">
        <v/>
      </c>
      <c r="D13" s="19" t="str">
        <v/>
      </c>
    </row>
    <row r="14" ht="20" customHeight="1">
      <c r="A14" s="14" t="str">
        <v>GROSS SALARY PAYABLE</v>
      </c>
      <c r="B14" s="14" t="str">
        <v/>
      </c>
      <c r="C14" s="15">
        <v>148100</v>
      </c>
      <c r="D14" s="15" t="str">
        <v/>
      </c>
    </row>
    <row r="16" ht="22" customHeight="1">
      <c r="A16" s="17" t="str">
        <v>B. DEDUCTIONS</v>
      </c>
      <c r="B16" s="17" t="str">
        <v/>
      </c>
      <c r="C16" s="17" t="str">
        <v/>
      </c>
      <c r="D16" s="17" t="str">
        <v/>
      </c>
    </row>
    <row r="17" ht="18" customHeight="1">
      <c r="A17" s="7" t="str">
        <v>Particulars</v>
      </c>
      <c r="B17" s="7" t="str">
        <v>Amount (₹)</v>
      </c>
      <c r="C17" s="7" t="str">
        <v>Particulars</v>
      </c>
      <c r="D17" s="7" t="str">
        <v>Amount (₹)</v>
      </c>
    </row>
    <row r="18" ht="18" customHeight="1">
      <c r="A18" s="9" t="str">
        <v>Income Tax</v>
      </c>
      <c r="B18" s="10">
        <v>4000</v>
      </c>
      <c r="C18" s="9" t="str">
        <v>Professional Tax</v>
      </c>
      <c r="D18" s="10">
        <v>400</v>
      </c>
    </row>
    <row r="19" ht="18" customHeight="1">
      <c r="A19" s="9" t="str">
        <v>LIC</v>
      </c>
      <c r="B19" s="10">
        <v>800</v>
      </c>
      <c r="C19" s="9" t="str">
        <v>CPF</v>
      </c>
      <c r="D19" s="10">
        <v>8000</v>
      </c>
    </row>
    <row r="20" ht="18" customHeight="1">
      <c r="A20" s="9" t="str">
        <v>DA CPF</v>
      </c>
      <c r="B20" s="10">
        <v>900</v>
      </c>
      <c r="C20" s="9" t="str">
        <v>VPF</v>
      </c>
      <c r="D20" s="10">
        <v>500</v>
      </c>
    </row>
    <row r="21" ht="18" customHeight="1">
      <c r="A21" s="9" t="str">
        <v>Electricity</v>
      </c>
      <c r="B21" s="10">
        <v>650</v>
      </c>
      <c r="C21" s="9" t="str">
        <v>Water</v>
      </c>
      <c r="D21" s="10">
        <v>180</v>
      </c>
    </row>
    <row r="22" ht="18" customHeight="1">
      <c r="A22" s="9" t="str">
        <v>Mess</v>
      </c>
      <c r="B22" s="10">
        <v>750</v>
      </c>
      <c r="C22" s="9" t="str">
        <v>Other Deduction</v>
      </c>
      <c r="D22" s="10">
        <v>270</v>
      </c>
    </row>
    <row r="23" ht="18" customHeight="1">
      <c r="A23" s="9" t="str">
        <v>Quarter Rent</v>
      </c>
      <c r="B23" s="10">
        <v>1000</v>
      </c>
      <c r="C23" s="9" t="str">
        <v/>
      </c>
      <c r="D23" s="19" t="str">
        <v/>
      </c>
    </row>
    <row r="24" ht="20" customHeight="1">
      <c r="A24" s="20" t="str">
        <v>TOTAL DEDUCTIONS</v>
      </c>
      <c r="B24" s="20" t="str">
        <v/>
      </c>
      <c r="C24" s="21">
        <v>18450</v>
      </c>
      <c r="D24" s="21" t="str">
        <v/>
      </c>
    </row>
    <row r="26" ht="22" customHeight="1">
      <c r="A26" s="17" t="str">
        <v>C. FINAL TOTALS</v>
      </c>
      <c r="B26" s="17" t="str">
        <v/>
      </c>
      <c r="C26" s="17" t="str">
        <v/>
      </c>
      <c r="D26" s="17" t="str">
        <v/>
      </c>
    </row>
    <row r="27">
      <c r="A27" s="7" t="str">
        <v>Particulars</v>
      </c>
      <c r="B27" s="7" t="str">
        <v/>
      </c>
      <c r="C27" s="7" t="str">
        <v>Amount</v>
      </c>
      <c r="D27" s="7" t="str">
        <v/>
      </c>
    </row>
    <row r="28" ht="18" customHeight="1">
      <c r="A28" s="9" t="str">
        <v>Employee Count</v>
      </c>
      <c r="B28" s="9" t="str">
        <v/>
      </c>
      <c r="C28" s="22">
        <v>2</v>
      </c>
      <c r="D28" s="22" t="str">
        <v/>
      </c>
    </row>
    <row r="29" ht="20" customHeight="1">
      <c r="A29" s="20" t="str">
        <v>Total Earnings excluding arrears</v>
      </c>
      <c r="B29" s="20" t="str">
        <v/>
      </c>
      <c r="C29" s="21">
        <v>146600</v>
      </c>
      <c r="D29" s="21" t="str">
        <v/>
      </c>
    </row>
    <row r="30" ht="20" customHeight="1">
      <c r="A30" s="20" t="str">
        <v>Total Arrears</v>
      </c>
      <c r="B30" s="20" t="str">
        <v/>
      </c>
      <c r="C30" s="21">
        <v>1500</v>
      </c>
      <c r="D30" s="21" t="str">
        <v/>
      </c>
    </row>
    <row r="31" ht="20" customHeight="1">
      <c r="A31" s="14" t="str">
        <v>Gross Salary Payable</v>
      </c>
      <c r="B31" s="14" t="str">
        <v/>
      </c>
      <c r="C31" s="15">
        <v>148100</v>
      </c>
      <c r="D31" s="15" t="str">
        <v/>
      </c>
    </row>
    <row r="32" ht="20" customHeight="1">
      <c r="A32" s="20" t="str">
        <v>Total Deductions</v>
      </c>
      <c r="B32" s="20" t="str">
        <v/>
      </c>
      <c r="C32" s="21">
        <v>18450</v>
      </c>
      <c r="D32" s="21" t="str">
        <v/>
      </c>
    </row>
    <row r="33" ht="24" customHeight="1">
      <c r="A33" s="23" t="str">
        <v>NET SALARY PAYABLE</v>
      </c>
      <c r="B33" s="23" t="str">
        <v/>
      </c>
      <c r="C33" s="24">
        <v>129650</v>
      </c>
      <c r="D33" s="24" t="str">
        <v/>
      </c>
    </row>
  </sheetData>
  <mergeCells count="24">
    <mergeCell ref="A1:D1"/>
    <mergeCell ref="A2:D2"/>
    <mergeCell ref="A3:D3"/>
    <mergeCell ref="A5:D5"/>
    <mergeCell ref="A14:B14"/>
    <mergeCell ref="C14:D14"/>
    <mergeCell ref="A16:D16"/>
    <mergeCell ref="A24:B24"/>
    <mergeCell ref="C24:D24"/>
    <mergeCell ref="A26:D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33:B33"/>
    <mergeCell ref="C33:D33"/>
  </mergeCells>
  <pageMargins left="0.4" right="0.4" top="0.5" bottom="0.5" header="0.25" footer="0.25"/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Detail</vt:lpstr>
      <vt:lpstr>Monthly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